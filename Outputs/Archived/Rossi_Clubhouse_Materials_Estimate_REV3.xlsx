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Trim Takeoff" sheetId="3" state="visible" r:id="rId5"/>
    <sheet name="Materia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<sst xmlns="http://schemas.openxmlformats.org/spreadsheetml/2006/main" count="318" uniqueCount="249">
  <si>
    <t xml:space="preserve">ROSSI CLUBHOUSE  —  WALL PANELING MATERIALS ESTIMATE  (REV 3)</t>
  </si>
  <si>
    <t xml:space="preserve">StayLuxe · walls-only project (ceiling separate) · materials only, labor excluded · prepared May 2026 · figures approximate</t>
  </si>
  <si>
    <t xml:space="preserve">ESTIMATE SUMMARY  —  MATERIALS ONLY</t>
  </si>
  <si>
    <t xml:space="preserve">Component</t>
  </si>
  <si>
    <t xml:space="preserve">Amount</t>
  </si>
  <si>
    <t xml:space="preserve">Notes</t>
  </si>
  <si>
    <t xml:space="preserve">Wall paneling materials</t>
  </si>
  <si>
    <t xml:space="preserve">Hardboard skim, MDF grid, base cap, consumables</t>
  </si>
  <si>
    <t xml:space="preserve">Casing &amp; edge treatment</t>
  </si>
  <si>
    <t xml:space="preserve">Window re-wrap allowance + quarter-round contingency</t>
  </si>
  <si>
    <t xml:space="preserve">Paint &amp; primer</t>
  </si>
  <si>
    <t xml:space="preserve">Dark finish + primer + sundries</t>
  </si>
  <si>
    <t xml:space="preserve">TOTAL — MATERIALS</t>
  </si>
  <si>
    <t xml:space="preserve">Recessed-panel scope, all 8 wall segments (incl. R6)</t>
  </si>
  <si>
    <t xml:space="preserve">Sales tax allowance (~8%)</t>
  </si>
  <si>
    <t xml:space="preserve">Adjust to purchase location</t>
  </si>
  <si>
    <t xml:space="preserve">TOTAL WITH TAX</t>
  </si>
  <si>
    <t xml:space="preserve">KEY QUANTITIES</t>
  </si>
  <si>
    <t xml:space="preserve">Total paneled wall length</t>
  </si>
  <si>
    <t xml:space="preserve">ft</t>
  </si>
  <si>
    <t xml:space="preserve">Recessed panels</t>
  </si>
  <si>
    <t xml:space="preserve">panels</t>
  </si>
  <si>
    <t xml:space="preserve">Hardboard skim sheets (4x8)</t>
  </si>
  <si>
    <t xml:space="preserve">sheets</t>
  </si>
  <si>
    <t xml:space="preserve">1x6 MDF boards (grid + baseboard)</t>
  </si>
  <si>
    <t xml:space="preserve">boards</t>
  </si>
  <si>
    <t xml:space="preserve">PVC base cap sticks (8 ft)</t>
  </si>
  <si>
    <t xml:space="preserve">sticks</t>
  </si>
  <si>
    <t xml:space="preserve">Finish paint</t>
  </si>
  <si>
    <t xml:space="preserve">gal</t>
  </si>
  <si>
    <t xml:space="preserve">WHAT CHANGED IN REV 3 &amp; KEY NOTES</t>
  </si>
  <si>
    <t xml:space="preserve">WALLS-ONLY PROJECT. Faux ceiling beams are removed entirely — the ceiling is now a separate project</t>
  </si>
  <si>
    <t xml:space="preserve">   with its own packet, survey (lights, HVAC, attic access) and estimate.</t>
  </si>
  <si>
    <t xml:space="preserve">R6 ADDED: the inside-L wall (bedroom entry to inside corner), missed in earlier revisions. The small</t>
  </si>
  <si>
    <t xml:space="preserve">   bathroom's living-room door is sealed and paneled over; the bedroom keeps its entry as a cased opening.</t>
  </si>
  <si>
    <t xml:space="preserve">   R6 adds ~10'-10" of wall, 4 bays, 12 panels. New total: 34 bays, 102 panels across 8 wall segments.</t>
  </si>
  <si>
    <t xml:space="preserve">CASING: existing window/door casing is kept and painted the dark color (not re-cased). A small flat-stock</t>
  </si>
  <si>
    <t xml:space="preserve">   allowance covers re-wrapping 1-2 windows only if a profile is too bulky to paint out cleanly.</t>
  </si>
  <si>
    <t xml:space="preserve">CEILING EDGE: flat top rail, no cove/cap profile — this matches the Jenna Sue full-wainscoting reference.</t>
  </si>
  <si>
    <t xml:space="preserve">   Quarter-round is carried as a contingency line only, to scribe an uneven ceiling line if needed.</t>
  </si>
  <si>
    <t xml:space="preserve">Base-cap waste raised to 18% (from 15%) to match the real-world ~1.8 sticks/panel rate in the Jenna Sue build.</t>
  </si>
  <si>
    <t xml:space="preserve">Baseboard: existing contractor-grade base is removed and fully replaced with new 1x6 MDF to match the grid.</t>
  </si>
  <si>
    <t xml:space="preserve">MATERIALS ONLY. Excludes: labor, wall G demolition &amp; structural sign-off, drywall patching at removed</t>
  </si>
  <si>
    <t xml:space="preserve">   openings, the ceiling scope, and the built-in bar millwork.</t>
  </si>
  <si>
    <t xml:space="preserve">Ripping the 1x6 exposes raw MDF core — those edges MUST be primed before the dark paint (primer incl.).</t>
  </si>
  <si>
    <t xml:space="preserve">Both Lowe's SKUs (MDF board, base cap) show discontinued online — priced at current equivalents; verify.</t>
  </si>
  <si>
    <t xml:space="preserve">Confirm the yellow inputs (1,111" wall length, 35% rip waste, casing/quarter-round allowances, stairwell</t>
  </si>
  <si>
    <t xml:space="preserve">   area) on site before ordering.</t>
  </si>
  <si>
    <t xml:space="preserve">Walls-only project · R6 added, faux beams removed · hardboard skim + ripped-MDF grid · blue = editable input · yellow = confirm on site</t>
  </si>
  <si>
    <t xml:space="preserve">GEOMETRY  (from carpenter hand-off packet)</t>
  </si>
  <si>
    <t xml:space="preserve">Ceiling height</t>
  </si>
  <si>
    <t xml:space="preserve">in</t>
  </si>
  <si>
    <t xml:space="preserve">Measured 7'-11¾"</t>
  </si>
  <si>
    <t xml:space="preserve">Baseboard height</t>
  </si>
  <si>
    <t xml:space="preserve">1x6 MDF on the flat</t>
  </si>
  <si>
    <t xml:space="preserve">Trim / rail face width</t>
  </si>
  <si>
    <t xml:space="preserve">Ripped from 1x6 MDF</t>
  </si>
  <si>
    <t xml:space="preserve">Row B square opening</t>
  </si>
  <si>
    <t xml:space="preserve">Fixed hero panel</t>
  </si>
  <si>
    <t xml:space="preserve">Rows A &amp; C opening (each)</t>
  </si>
  <si>
    <t xml:space="preserve">Equals (ceiling - base - 4 rails - 30) / 2</t>
  </si>
  <si>
    <t xml:space="preserve">Paneled field height (above baseboard)</t>
  </si>
  <si>
    <t xml:space="preserve">Ceiling height minus baseboard</t>
  </si>
  <si>
    <t xml:space="preserve">RUN TAKEOFF  (6 runs / 8 wall segments, incl. R6)</t>
  </si>
  <si>
    <t xml:space="preserve">R1 200 + R2 193 + R3 156 + R4 156 + R6 130.5 + R5 a/b/c 103/102/71</t>
  </si>
  <si>
    <t xml:space="preserve">Total bays</t>
  </si>
  <si>
    <t xml:space="preserve">count</t>
  </si>
  <si>
    <t xml:space="preserve">Sum of bays across all 6 runs</t>
  </si>
  <si>
    <t xml:space="preserve">Total recessed panels</t>
  </si>
  <si>
    <t xml:space="preserve">34 bays x 3 rows</t>
  </si>
  <si>
    <t xml:space="preserve">Vertical trim members (total)</t>
  </si>
  <si>
    <t xml:space="preserve">Sum of (bays+1) per run — one at each bay edge</t>
  </si>
  <si>
    <t xml:space="preserve">Horizontal rails per run</t>
  </si>
  <si>
    <t xml:space="preserve">Ceiling, A/B, B/C, top-of-base</t>
  </si>
  <si>
    <t xml:space="preserve">Number of runs (for rail count)</t>
  </si>
  <si>
    <t xml:space="preserve">Rails are full-length per wall segment</t>
  </si>
  <si>
    <t xml:space="preserve">TRIM STOCK</t>
  </si>
  <si>
    <t xml:space="preserve">1x6 primed MDF board length</t>
  </si>
  <si>
    <t xml:space="preserve">ReliaBilt 1x6x12 primed S4S MDF (5.5" actual width)</t>
  </si>
  <si>
    <t xml:space="preserve">Grid strips (rips) per board</t>
  </si>
  <si>
    <t xml:space="preserve">5.5" board → 2 usable 2.5" strips after saw kerf</t>
  </si>
  <si>
    <t xml:space="preserve">Baseboard pieces per board</t>
  </si>
  <si>
    <t xml:space="preserve">Baseboard uses the full 5.5" board, not ripped</t>
  </si>
  <si>
    <t xml:space="preserve">PVC base cap stick length</t>
  </si>
  <si>
    <t xml:space="preserve">Royal 6606 PVC base cap — recessed-panel shadow line</t>
  </si>
  <si>
    <t xml:space="preserve">HARDBOARD SKIN</t>
  </si>
  <si>
    <t xml:space="preserve">Hardboard sheet size</t>
  </si>
  <si>
    <t xml:space="preserve">SF</t>
  </si>
  <si>
    <t xml:space="preserve">4 ft x 8 ft sheet</t>
  </si>
  <si>
    <t xml:space="preserve">Rip-waste uplift on hardboard</t>
  </si>
  <si>
    <t xml:space="preserve">%</t>
  </si>
  <si>
    <t xml:space="preserve">Sheets ripped to ~32" bay width → ~16" offcut per sheet</t>
  </si>
  <si>
    <t xml:space="preserve">WASTE FACTORS</t>
  </si>
  <si>
    <t xml:space="preserve">Grid trim waste (verticals + rails)</t>
  </si>
  <si>
    <t xml:space="preserve">Straight runs + cut count</t>
  </si>
  <si>
    <t xml:space="preserve">Base cap waste</t>
  </si>
  <si>
    <t xml:space="preserve">Many short mitered pieces — 4 per panel; ~1.8 sticks/panel real-world rate (Jenna Sue)</t>
  </si>
  <si>
    <t xml:space="preserve">Baseboard waste</t>
  </si>
  <si>
    <t xml:space="preserve">Full-width 1x6 base — straight runs</t>
  </si>
  <si>
    <t xml:space="preserve">CASING &amp; EDGE TREATMENT</t>
  </si>
  <si>
    <t xml:space="preserve">Windows to re-wrap in flat stock (allowance)</t>
  </si>
  <si>
    <t xml:space="preserve">Insurance — paint existing casing; re-wrap only if profile too bulky</t>
  </si>
  <si>
    <t xml:space="preserve">Flat stock per window re-wrap</t>
  </si>
  <si>
    <t xml:space="preserve">LF</t>
  </si>
  <si>
    <t xml:space="preserve">Approx. casing perimeter per window</t>
  </si>
  <si>
    <t xml:space="preserve">Quarter-round for uneven ceiling line (contingency)</t>
  </si>
  <si>
    <t xml:space="preserve">Only if ceiling line is wavy — scribe filler</t>
  </si>
  <si>
    <t xml:space="preserve">Quarter-round stick length</t>
  </si>
  <si>
    <t xml:space="preserve">PVC quarter-round</t>
  </si>
  <si>
    <t xml:space="preserve">PAINT</t>
  </si>
  <si>
    <t xml:space="preserve">Coats</t>
  </si>
  <si>
    <t xml:space="preserve">Two finish coats over the dark color</t>
  </si>
  <si>
    <t xml:space="preserve">Coverage per gallon (one coat)</t>
  </si>
  <si>
    <t xml:space="preserve">Typical interior latex</t>
  </si>
  <si>
    <t xml:space="preserve">Trim-relief uplift factor</t>
  </si>
  <si>
    <t xml:space="preserve">x</t>
  </si>
  <si>
    <t xml:space="preserve">3-D grid relief adds surface area vs flat wall</t>
  </si>
  <si>
    <t xml:space="preserve">Stairwell wall area (painted — base scope)</t>
  </si>
  <si>
    <t xml:space="preserve">CONFIRM — below-grade stair walls, paint only</t>
  </si>
  <si>
    <t xml:space="preserve">Primer allowance</t>
  </si>
  <si>
    <t xml:space="preserve">Seals ripped MDF edges + hardboard + wall G patch</t>
  </si>
  <si>
    <t xml:space="preserve">UNIT PRICES</t>
  </si>
  <si>
    <t xml:space="preserve">1x6x12 primed MDF board</t>
  </si>
  <si>
    <t xml:space="preserve">$/ea</t>
  </si>
  <si>
    <t xml:space="preserve">Est. retail — Lowe's #1000704262 discontinued; equiv. ReliaBilt</t>
  </si>
  <si>
    <t xml:space="preserve">Hardboard 4x8 sheet (1/8" tempered)</t>
  </si>
  <si>
    <t xml:space="preserve">Smooth-face hardboard skim substrate</t>
  </si>
  <si>
    <t xml:space="preserve">PVC base cap moulding (8 ft)</t>
  </si>
  <si>
    <t xml:space="preserve">Est. — Lowe's #1000514811 discontinued; equiv. Royal 6606 PVC</t>
  </si>
  <si>
    <t xml:space="preserve">Flat casing stock (per LF)</t>
  </si>
  <si>
    <t xml:space="preserve">$/LF</t>
  </si>
  <si>
    <t xml:space="preserve">1x4 primed MDF or similar — for window re-wrap allowance</t>
  </si>
  <si>
    <t xml:space="preserve">Construction adhesive (tube)</t>
  </si>
  <si>
    <t xml:space="preserve">Loctite Power Grab / Liquid Nails</t>
  </si>
  <si>
    <t xml:space="preserve">Panel adhesive for skim sheets (tube)</t>
  </si>
  <si>
    <t xml:space="preserve">Heavy-body panel adhesive for hardboard</t>
  </si>
  <si>
    <t xml:space="preserve">Finish / brad nails (pack)</t>
  </si>
  <si>
    <t xml:space="preserve">18ga brad + 16ga finish</t>
  </si>
  <si>
    <t xml:space="preserve">Paintable caulk (tube)</t>
  </si>
  <si>
    <t xml:space="preserve">Painter's caulk — all trim edges &amp; miters</t>
  </si>
  <si>
    <t xml:space="preserve">Wood filler (tub)</t>
  </si>
  <si>
    <t xml:space="preserve">Nail holes &amp; end grain</t>
  </si>
  <si>
    <t xml:space="preserve">Interior finish paint</t>
  </si>
  <si>
    <t xml:space="preserve">$/gal</t>
  </si>
  <si>
    <t xml:space="preserve">Premium dark — SW Cyberspace / Charleston Green tier</t>
  </si>
  <si>
    <t xml:space="preserve">Primer / bonding primer</t>
  </si>
  <si>
    <t xml:space="preserve">Stain-blocking / bonding</t>
  </si>
  <si>
    <t xml:space="preserve">Outlet / switch box extenders (pack)</t>
  </si>
  <si>
    <t xml:space="preserve">Skim + trim adds depth at devices</t>
  </si>
  <si>
    <t xml:space="preserve">PVC quarter-round (8 ft)</t>
  </si>
  <si>
    <t xml:space="preserve">Ceiling-line scribe filler — contingency</t>
  </si>
  <si>
    <t xml:space="preserve">CONSUMABLE COVERAGE RATES</t>
  </si>
  <si>
    <t xml:space="preserve">Adhesive — LF of trim per tube</t>
  </si>
  <si>
    <t xml:space="preserve">Panel adhesive — SF of skim per tube</t>
  </si>
  <si>
    <t xml:space="preserve">~1 tube per sheet</t>
  </si>
  <si>
    <t xml:space="preserve">Nails — LF of trim per pack</t>
  </si>
  <si>
    <t xml:space="preserve">Caulk — LF of joint per tube</t>
  </si>
  <si>
    <t xml:space="preserve">Trim caulked both edges</t>
  </si>
  <si>
    <t xml:space="preserve">Filler — LF of trim per tub</t>
  </si>
  <si>
    <t xml:space="preserve">Outlet / switch extender packs</t>
  </si>
  <si>
    <t xml:space="preserve">Devices within paneled walls</t>
  </si>
  <si>
    <t xml:space="preserve">Misc allowance (blades, shims, sandpaper)</t>
  </si>
  <si>
    <t xml:space="preserve">$</t>
  </si>
  <si>
    <t xml:space="preserve">Lump allowance — more saw work in rev 2</t>
  </si>
  <si>
    <t xml:space="preserve">TRIM &amp; SKIN TAKEOFF  —  LINEAR-FOOT &amp; SHEET QUANTITIES</t>
  </si>
  <si>
    <t xml:space="preserve">All quantities flow from the Inputs tab</t>
  </si>
  <si>
    <t xml:space="preserve">Quantity</t>
  </si>
  <si>
    <t xml:space="preserve">Basis</t>
  </si>
  <si>
    <t xml:space="preserve">Value</t>
  </si>
  <si>
    <t xml:space="preserve">Vertical trim — net (LF)</t>
  </si>
  <si>
    <t xml:space="preserve">42 verticals x 90.25" field height</t>
  </si>
  <si>
    <t xml:space="preserve">Horizontal rails — net (LF)</t>
  </si>
  <si>
    <t xml:space="preserve">4 rails x total wall length</t>
  </si>
  <si>
    <t xml:space="preserve">Grid trim — net (LF)</t>
  </si>
  <si>
    <t xml:space="preserve">Verticals + rails</t>
  </si>
  <si>
    <t xml:space="preserve">Grid trim — with waste (LF)</t>
  </si>
  <si>
    <t xml:space="preserve">+ 12% grid waste</t>
  </si>
  <si>
    <t xml:space="preserve">Trim LF per MDF board</t>
  </si>
  <si>
    <t xml:space="preserve">12 ft length x 2 rips</t>
  </si>
  <si>
    <t xml:space="preserve">MDF boards for grid trim</t>
  </si>
  <si>
    <t xml:space="preserve">Grid LF / LF per board</t>
  </si>
  <si>
    <t xml:space="preserve">Baseboard — net (LF)</t>
  </si>
  <si>
    <t xml:space="preserve">Total wall length</t>
  </si>
  <si>
    <t xml:space="preserve">Baseboard — with waste (LF)</t>
  </si>
  <si>
    <t xml:space="preserve">+ 12% waste</t>
  </si>
  <si>
    <t xml:space="preserve">MDF boards for baseboard</t>
  </si>
  <si>
    <t xml:space="preserve">Baseboard LF / 12 ft (full board, not ripped)</t>
  </si>
  <si>
    <t xml:space="preserve">Base cap — net (LF)</t>
  </si>
  <si>
    <t xml:space="preserve">Inside perimeter of all 102 recessed openings</t>
  </si>
  <si>
    <t xml:space="preserve">Base cap — with waste (LF)</t>
  </si>
  <si>
    <t xml:space="preserve">+ 18% waste (short mitered pieces)</t>
  </si>
  <si>
    <t xml:space="preserve">Base cap sticks (8 ft)</t>
  </si>
  <si>
    <t xml:space="preserve">Base cap LF / 8 ft</t>
  </si>
  <si>
    <t xml:space="preserve">Gross wall area (SF)</t>
  </si>
  <si>
    <t xml:space="preserve">Total length x ceiling height</t>
  </si>
  <si>
    <t xml:space="preserve">Hardboard sheets — by area</t>
  </si>
  <si>
    <t xml:space="preserve">Wall area / 32 SF</t>
  </si>
  <si>
    <t xml:space="preserve">Hardboard sheets — with rip waste</t>
  </si>
  <si>
    <t xml:space="preserve">+ 35% rip waste</t>
  </si>
  <si>
    <t xml:space="preserve">NOTE: Base cap LF uses the average bay opening width across all runs. The base cap forms the recessed-panel shadow line inside every opening — 4 mitered pieces per panel, 102 panels. Hardboard is ripped to bay width so every sheet seam lands under a vertical trim member; the 35% rip-waste factor covers the ~16" offcut left when a 48" sheet is cut to ~32". Field-verify the 1,111" total wall length before ordering.</t>
  </si>
  <si>
    <t xml:space="preserve">MATERIALS  —  RECESSED-PANEL WALL SCOPE</t>
  </si>
  <si>
    <t xml:space="preserve">Locked design · materials only, labor excluded</t>
  </si>
  <si>
    <t xml:space="preserve">WALL PANELING MATERIALS</t>
  </si>
  <si>
    <t xml:space="preserve">Item</t>
  </si>
  <si>
    <t xml:space="preserve">Qty</t>
  </si>
  <si>
    <t xml:space="preserve">Unit</t>
  </si>
  <si>
    <t xml:space="preserve">Unit $</t>
  </si>
  <si>
    <t xml:space="preserve">Extended $</t>
  </si>
  <si>
    <t xml:space="preserve">Hardboard 4x8 sheet — skim substrate</t>
  </si>
  <si>
    <t xml:space="preserve">sheet</t>
  </si>
  <si>
    <t xml:space="preserve">Ripped to bay width; seams fall under verticals</t>
  </si>
  <si>
    <t xml:space="preserve">1x6 primed MDF — grid trim (ripped to 2.5")</t>
  </si>
  <si>
    <t xml:space="preserve">board</t>
  </si>
  <si>
    <t xml:space="preserve">Verticals + 4 rails per run</t>
  </si>
  <si>
    <t xml:space="preserve">1x6 primed MDF — baseboard (full width)</t>
  </si>
  <si>
    <t xml:space="preserve">5.5" baseboard, not ripped</t>
  </si>
  <si>
    <t xml:space="preserve">stick</t>
  </si>
  <si>
    <t xml:space="preserve">Recessed-panel shadow line — 4 per panel, 90 panels</t>
  </si>
  <si>
    <t xml:space="preserve">Panel adhesive — hardboard skim</t>
  </si>
  <si>
    <t xml:space="preserve">tube</t>
  </si>
  <si>
    <t xml:space="preserve">Skim sheets glued + nailed to studs</t>
  </si>
  <si>
    <t xml:space="preserve">Construction adhesive — trim</t>
  </si>
  <si>
    <t xml:space="preserve">Grid trim glued + nailed to skim</t>
  </si>
  <si>
    <t xml:space="preserve">Finish / brad nails</t>
  </si>
  <si>
    <t xml:space="preserve">pack</t>
  </si>
  <si>
    <t xml:space="preserve">Grid trim + base cap</t>
  </si>
  <si>
    <t xml:space="preserve">Paintable caulk</t>
  </si>
  <si>
    <t xml:space="preserve">Both edges of grid + base cap miters</t>
  </si>
  <si>
    <t xml:space="preserve">Wood filler</t>
  </si>
  <si>
    <t xml:space="preserve">tub</t>
  </si>
  <si>
    <t xml:space="preserve">Nail holes — grid + base cap</t>
  </si>
  <si>
    <t xml:space="preserve">Outlet / switch box extenders</t>
  </si>
  <si>
    <t xml:space="preserve">Skim + trim adds wall depth at devices</t>
  </si>
  <si>
    <t xml:space="preserve">Misc (blades, shims, sandpaper)</t>
  </si>
  <si>
    <t xml:space="preserve">allow</t>
  </si>
  <si>
    <t xml:space="preserve">WALL PANELING MATERIALS SUBTOTAL</t>
  </si>
  <si>
    <t xml:space="preserve">Flat casing stock — window re-wrap allowance</t>
  </si>
  <si>
    <t xml:space="preserve">Allowance: re-wrap 1-2 windows only if profile too bulky to paint</t>
  </si>
  <si>
    <t xml:space="preserve">PVC quarter-round — ceiling-line scribe (contingency)</t>
  </si>
  <si>
    <t xml:space="preserve">Only if ceiling line is wavy — carry as contingency</t>
  </si>
  <si>
    <t xml:space="preserve">Casing / contingency fasteners &amp; caulk</t>
  </si>
  <si>
    <t xml:space="preserve">CASING &amp; EDGE TREATMENT SUBTOTAL</t>
  </si>
  <si>
    <t xml:space="preserve">PAINT &amp; PRIMER</t>
  </si>
  <si>
    <t xml:space="preserve">Paintable area per coat (SF) — grid relief + stairwell</t>
  </si>
  <si>
    <t xml:space="preserve">Finish paint required (gal) — all coats</t>
  </si>
  <si>
    <t xml:space="preserve">Interior finish paint — dark (Cyberspace / Charleston Green)</t>
  </si>
  <si>
    <t xml:space="preserve">Includes stairwell walls (painted, base scope)</t>
  </si>
  <si>
    <t xml:space="preserve">Painting sundries (rollers, brushes, trays, tape, drops)</t>
  </si>
  <si>
    <t xml:space="preserve">PAINT &amp; PRIMER SUBTOTAL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</si>
</sst>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.0;\(#,##0.0\);\-"/>
    <numFmt numFmtId="167" formatCode="#,##0;\(#,##0\);\-"/>
    <numFmt numFmtId="168" formatCode="0%"/>
    <numFmt numFmtId="169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3F3F3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3F3F3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4D"/>
        <bgColor rgb="FF3F3F3F"/>
      </patternFill>
    </fill>
    <fill>
      <patternFill patternType="solid">
        <fgColor rgb="FF56707E"/>
        <bgColor rgb="FF808080"/>
      </patternFill>
    </fill>
    <fill>
      <patternFill patternType="solid">
        <fgColor rgb="FF8AA1AB"/>
        <bgColor rgb="FF808080"/>
      </patternFill>
    </fill>
    <fill>
      <patternFill patternType="solid">
        <fgColor rgb="FFEDEFF0"/>
        <bgColor rgb="FFDCE6EC"/>
      </patternFill>
    </fill>
    <fill>
      <patternFill patternType="solid">
        <fgColor rgb="FFDCE6EC"/>
        <bgColor rgb="FFEDEFF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FF0"/>
      <rgbColor rgb="FFDCE6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707E"/>
      <rgbColor rgb="FF8AA1AB"/>
      <rgbColor rgb="FF1F3A4D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4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6.5" hidden="false" customHeight="true" outlineLevel="0" collapsed="false">
      <c r="A4" s="3" t="s">
        <v>2</v>
      </c>
      <c r="B4" s="3"/>
      <c r="C4" s="3"/>
    </row>
    <row r="5" customFormat="false" ht="25.5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f aca="false">Materials!E16</f>
        <v>4295</v>
      </c>
      <c r="C6" s="7" t="s">
        <v>7</v>
      </c>
    </row>
    <row r="7" customFormat="false" ht="15" hidden="false" customHeight="false" outlineLevel="0" collapsed="false">
      <c r="A7" s="8" t="s">
        <v>8</v>
      </c>
      <c r="B7" s="9" t="n">
        <f aca="false">Materials!E23</f>
        <v>143.4</v>
      </c>
      <c r="C7" s="10" t="s">
        <v>9</v>
      </c>
    </row>
    <row r="8" customFormat="false" ht="15" hidden="false" customHeight="false" outlineLevel="0" collapsed="false">
      <c r="A8" s="5" t="s">
        <v>10</v>
      </c>
      <c r="B8" s="6" t="n">
        <f aca="false">Materials!E32</f>
        <v>752</v>
      </c>
      <c r="C8" s="7" t="s">
        <v>11</v>
      </c>
    </row>
    <row r="9" customFormat="false" ht="15" hidden="false" customHeight="false" outlineLevel="0" collapsed="false">
      <c r="A9" s="11" t="s">
        <v>12</v>
      </c>
      <c r="B9" s="12" t="n">
        <f aca="false">SUM(B6:B8)</f>
        <v>5190.4</v>
      </c>
      <c r="C9" s="13" t="s">
        <v>13</v>
      </c>
    </row>
    <row r="10" customFormat="false" ht="15" hidden="false" customHeight="false" outlineLevel="0" collapsed="false">
      <c r="A10" s="5" t="s">
        <v>14</v>
      </c>
      <c r="B10" s="14" t="n">
        <f aca="false">B9*0.08</f>
        <v>415.232</v>
      </c>
      <c r="C10" s="7" t="s">
        <v>15</v>
      </c>
    </row>
    <row r="11" customFormat="false" ht="15" hidden="false" customHeight="false" outlineLevel="0" collapsed="false">
      <c r="A11" s="11" t="s">
        <v>16</v>
      </c>
      <c r="B11" s="12" t="n">
        <f aca="false">B9+B10</f>
        <v>5605.632</v>
      </c>
      <c r="C11" s="15"/>
    </row>
    <row r="13" customFormat="false" ht="16.5" hidden="false" customHeight="true" outlineLevel="0" collapsed="false">
      <c r="A13" s="3" t="s">
        <v>17</v>
      </c>
      <c r="B13" s="3"/>
      <c r="C13" s="3"/>
    </row>
    <row r="14" customFormat="false" ht="15" hidden="false" customHeight="false" outlineLevel="0" collapsed="false">
      <c r="A14" s="5" t="s">
        <v>18</v>
      </c>
      <c r="B14" s="16" t="n">
        <f aca="false">Inputs!B12/12</f>
        <v>92.625</v>
      </c>
      <c r="C14" s="7" t="s">
        <v>19</v>
      </c>
    </row>
    <row r="15" customFormat="false" ht="15" hidden="false" customHeight="false" outlineLevel="0" collapsed="false">
      <c r="A15" s="5" t="s">
        <v>20</v>
      </c>
      <c r="B15" s="16" t="n">
        <f aca="false">Inputs!B14</f>
        <v>102</v>
      </c>
      <c r="C15" s="7" t="s">
        <v>21</v>
      </c>
    </row>
    <row r="16" customFormat="false" ht="15" hidden="false" customHeight="false" outlineLevel="0" collapsed="false">
      <c r="A16" s="5" t="s">
        <v>22</v>
      </c>
      <c r="B16" s="16" t="n">
        <f aca="false">'Trim Takeoff'!C18</f>
        <v>32</v>
      </c>
      <c r="C16" s="7" t="s">
        <v>23</v>
      </c>
    </row>
    <row r="17" customFormat="false" ht="15" hidden="false" customHeight="false" outlineLevel="0" collapsed="false">
      <c r="A17" s="5" t="s">
        <v>24</v>
      </c>
      <c r="B17" s="16" t="n">
        <f aca="false">'Trim Takeoff'!C9+'Trim Takeoff'!C12</f>
        <v>42</v>
      </c>
      <c r="C17" s="7" t="s">
        <v>25</v>
      </c>
    </row>
    <row r="18" customFormat="false" ht="15" hidden="false" customHeight="false" outlineLevel="0" collapsed="false">
      <c r="A18" s="5" t="s">
        <v>26</v>
      </c>
      <c r="B18" s="16" t="n">
        <f aca="false">'Trim Takeoff'!C15</f>
        <v>143</v>
      </c>
      <c r="C18" s="7" t="s">
        <v>27</v>
      </c>
    </row>
    <row r="19" customFormat="false" ht="15" hidden="false" customHeight="false" outlineLevel="0" collapsed="false">
      <c r="A19" s="5" t="s">
        <v>28</v>
      </c>
      <c r="B19" s="16" t="n">
        <f aca="false">Materials!B28</f>
        <v>6</v>
      </c>
      <c r="C19" s="7" t="s">
        <v>29</v>
      </c>
    </row>
    <row r="21" customFormat="false" ht="16.5" hidden="false" customHeight="true" outlineLevel="0" collapsed="false">
      <c r="A21" s="3" t="s">
        <v>30</v>
      </c>
      <c r="B21" s="3"/>
      <c r="C21" s="3"/>
    </row>
    <row r="22" customFormat="false" ht="22.35" hidden="false" customHeight="true" outlineLevel="0" collapsed="false">
      <c r="A22" s="17" t="s">
        <v>31</v>
      </c>
      <c r="B22" s="17"/>
      <c r="C22" s="17"/>
    </row>
    <row r="23" customFormat="false" ht="15" hidden="false" customHeight="true" outlineLevel="0" collapsed="false">
      <c r="A23" s="17" t="s">
        <v>32</v>
      </c>
      <c r="B23" s="17"/>
      <c r="C23" s="17"/>
    </row>
    <row r="24" customFormat="false" ht="15" hidden="false" customHeight="true" outlineLevel="0" collapsed="false">
      <c r="A24" s="17" t="s">
        <v>33</v>
      </c>
      <c r="B24" s="17"/>
      <c r="C24" s="17"/>
    </row>
    <row r="25" customFormat="false" ht="22.35" hidden="false" customHeight="true" outlineLevel="0" collapsed="false">
      <c r="A25" s="17" t="s">
        <v>34</v>
      </c>
      <c r="B25" s="17"/>
      <c r="C25" s="17"/>
    </row>
    <row r="26" customFormat="false" ht="15" hidden="false" customHeight="true" outlineLevel="0" collapsed="false">
      <c r="A26" s="17" t="s">
        <v>35</v>
      </c>
      <c r="B26" s="17"/>
      <c r="C26" s="17"/>
    </row>
    <row r="27" customFormat="false" ht="22.35" hidden="false" customHeight="true" outlineLevel="0" collapsed="false">
      <c r="A27" s="17" t="s">
        <v>36</v>
      </c>
      <c r="B27" s="17"/>
      <c r="C27" s="17"/>
    </row>
    <row r="28" customFormat="false" ht="15" hidden="false" customHeight="true" outlineLevel="0" collapsed="false">
      <c r="A28" s="17" t="s">
        <v>37</v>
      </c>
      <c r="B28" s="17"/>
      <c r="C28" s="17"/>
    </row>
    <row r="29" customFormat="false" ht="22.35" hidden="false" customHeight="true" outlineLevel="0" collapsed="false">
      <c r="A29" s="17" t="s">
        <v>38</v>
      </c>
      <c r="B29" s="17"/>
      <c r="C29" s="17"/>
    </row>
    <row r="30" customFormat="false" ht="15" hidden="false" customHeight="true" outlineLevel="0" collapsed="false">
      <c r="A30" s="17" t="s">
        <v>39</v>
      </c>
      <c r="B30" s="17"/>
      <c r="C30" s="17"/>
    </row>
    <row r="31" customFormat="false" ht="22.35" hidden="false" customHeight="true" outlineLevel="0" collapsed="false">
      <c r="A31" s="17" t="s">
        <v>40</v>
      </c>
      <c r="B31" s="17"/>
      <c r="C31" s="17"/>
    </row>
    <row r="32" customFormat="false" ht="22.35" hidden="false" customHeight="true" outlineLevel="0" collapsed="false">
      <c r="A32" s="17" t="s">
        <v>41</v>
      </c>
      <c r="B32" s="17"/>
      <c r="C32" s="17"/>
    </row>
    <row r="33" customFormat="false" ht="15" hidden="false" customHeight="true" outlineLevel="0" collapsed="false">
      <c r="A33" s="17" t="s">
        <v>42</v>
      </c>
      <c r="B33" s="17"/>
      <c r="C33" s="17"/>
    </row>
    <row r="34" customFormat="false" ht="15" hidden="false" customHeight="true" outlineLevel="0" collapsed="false">
      <c r="A34" s="17" t="s">
        <v>43</v>
      </c>
      <c r="B34" s="17"/>
      <c r="C34" s="17"/>
    </row>
    <row r="35" customFormat="false" ht="22.35" hidden="false" customHeight="true" outlineLevel="0" collapsed="false">
      <c r="A35" s="17" t="s">
        <v>44</v>
      </c>
      <c r="B35" s="17"/>
      <c r="C35" s="17"/>
    </row>
    <row r="36" customFormat="false" ht="22.35" hidden="false" customHeight="true" outlineLevel="0" collapsed="false">
      <c r="A36" s="17" t="s">
        <v>45</v>
      </c>
      <c r="B36" s="17"/>
      <c r="C36" s="17"/>
    </row>
    <row r="37" customFormat="false" ht="15" hidden="false" customHeight="true" outlineLevel="0" collapsed="false">
      <c r="A37" s="17" t="s">
        <v>46</v>
      </c>
      <c r="B37" s="17"/>
      <c r="C37" s="17"/>
    </row>
    <row r="38" customFormat="false" ht="15" hidden="false" customHeight="true" outlineLevel="0" collapsed="false">
      <c r="A38" s="17" t="s">
        <v>47</v>
      </c>
      <c r="B38" s="17"/>
      <c r="C38" s="17"/>
    </row>
  </sheetData>
  <mergeCells count="22">
    <mergeCell ref="A1:D1"/>
    <mergeCell ref="A2:D2"/>
    <mergeCell ref="A4:C4"/>
    <mergeCell ref="A13:C13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48</v>
      </c>
      <c r="B2" s="2"/>
      <c r="C2" s="2"/>
      <c r="D2" s="2"/>
    </row>
    <row r="3" customFormat="false" ht="16.5" hidden="false" customHeight="true" outlineLevel="0" collapsed="false">
      <c r="A3" s="3" t="s">
        <v>49</v>
      </c>
      <c r="B3" s="3"/>
      <c r="C3" s="3"/>
      <c r="D3" s="3"/>
    </row>
    <row r="4" customFormat="false" ht="15" hidden="false" customHeight="false" outlineLevel="0" collapsed="false">
      <c r="A4" s="5" t="s">
        <v>50</v>
      </c>
      <c r="B4" s="18" t="n">
        <v>95.75</v>
      </c>
      <c r="C4" s="19" t="s">
        <v>51</v>
      </c>
      <c r="D4" s="7" t="s">
        <v>52</v>
      </c>
    </row>
    <row r="5" customFormat="false" ht="15" hidden="false" customHeight="false" outlineLevel="0" collapsed="false">
      <c r="A5" s="5" t="s">
        <v>53</v>
      </c>
      <c r="B5" s="18" t="n">
        <v>5.5</v>
      </c>
      <c r="C5" s="19" t="s">
        <v>51</v>
      </c>
      <c r="D5" s="7" t="s">
        <v>54</v>
      </c>
    </row>
    <row r="6" customFormat="false" ht="15" hidden="false" customHeight="false" outlineLevel="0" collapsed="false">
      <c r="A6" s="5" t="s">
        <v>55</v>
      </c>
      <c r="B6" s="18" t="n">
        <v>2.5</v>
      </c>
      <c r="C6" s="19" t="s">
        <v>51</v>
      </c>
      <c r="D6" s="7" t="s">
        <v>56</v>
      </c>
    </row>
    <row r="7" customFormat="false" ht="15" hidden="false" customHeight="false" outlineLevel="0" collapsed="false">
      <c r="A7" s="5" t="s">
        <v>57</v>
      </c>
      <c r="B7" s="18" t="n">
        <v>30</v>
      </c>
      <c r="C7" s="19" t="s">
        <v>51</v>
      </c>
      <c r="D7" s="7" t="s">
        <v>58</v>
      </c>
    </row>
    <row r="8" customFormat="false" ht="15" hidden="false" customHeight="false" outlineLevel="0" collapsed="false">
      <c r="A8" s="5" t="s">
        <v>59</v>
      </c>
      <c r="B8" s="18" t="n">
        <v>25.125</v>
      </c>
      <c r="C8" s="19" t="s">
        <v>51</v>
      </c>
      <c r="D8" s="7" t="s">
        <v>60</v>
      </c>
    </row>
    <row r="9" customFormat="false" ht="15" hidden="false" customHeight="false" outlineLevel="0" collapsed="false">
      <c r="A9" s="5" t="s">
        <v>61</v>
      </c>
      <c r="B9" s="18" t="n">
        <v>90.25</v>
      </c>
      <c r="C9" s="19" t="s">
        <v>51</v>
      </c>
      <c r="D9" s="7" t="s">
        <v>62</v>
      </c>
    </row>
    <row r="11" customFormat="false" ht="16.5" hidden="false" customHeight="true" outlineLevel="0" collapsed="false">
      <c r="A11" s="3" t="s">
        <v>63</v>
      </c>
      <c r="B11" s="3"/>
      <c r="C11" s="3"/>
      <c r="D11" s="3"/>
    </row>
    <row r="12" customFormat="false" ht="15" hidden="false" customHeight="false" outlineLevel="0" collapsed="false">
      <c r="A12" s="5" t="s">
        <v>18</v>
      </c>
      <c r="B12" s="20" t="n">
        <v>1111.5</v>
      </c>
      <c r="C12" s="19" t="s">
        <v>51</v>
      </c>
      <c r="D12" s="7" t="s">
        <v>64</v>
      </c>
    </row>
    <row r="13" customFormat="false" ht="15" hidden="false" customHeight="false" outlineLevel="0" collapsed="false">
      <c r="A13" s="5" t="s">
        <v>65</v>
      </c>
      <c r="B13" s="21" t="n">
        <v>34</v>
      </c>
      <c r="C13" s="19" t="s">
        <v>66</v>
      </c>
      <c r="D13" s="7" t="s">
        <v>67</v>
      </c>
    </row>
    <row r="14" customFormat="false" ht="15" hidden="false" customHeight="false" outlineLevel="0" collapsed="false">
      <c r="A14" s="5" t="s">
        <v>68</v>
      </c>
      <c r="B14" s="21" t="n">
        <v>102</v>
      </c>
      <c r="C14" s="19" t="s">
        <v>66</v>
      </c>
      <c r="D14" s="7" t="s">
        <v>69</v>
      </c>
    </row>
    <row r="15" customFormat="false" ht="15" hidden="false" customHeight="false" outlineLevel="0" collapsed="false">
      <c r="A15" s="5" t="s">
        <v>70</v>
      </c>
      <c r="B15" s="21" t="n">
        <v>42</v>
      </c>
      <c r="C15" s="19" t="s">
        <v>66</v>
      </c>
      <c r="D15" s="7" t="s">
        <v>71</v>
      </c>
    </row>
    <row r="16" customFormat="false" ht="15" hidden="false" customHeight="false" outlineLevel="0" collapsed="false">
      <c r="A16" s="5" t="s">
        <v>72</v>
      </c>
      <c r="B16" s="21" t="n">
        <v>4</v>
      </c>
      <c r="C16" s="19" t="s">
        <v>66</v>
      </c>
      <c r="D16" s="7" t="s">
        <v>73</v>
      </c>
    </row>
    <row r="17" customFormat="false" ht="15" hidden="false" customHeight="false" outlineLevel="0" collapsed="false">
      <c r="A17" s="5" t="s">
        <v>74</v>
      </c>
      <c r="B17" s="21" t="n">
        <v>8</v>
      </c>
      <c r="C17" s="19" t="s">
        <v>66</v>
      </c>
      <c r="D17" s="7" t="s">
        <v>75</v>
      </c>
    </row>
    <row r="19" customFormat="false" ht="16.5" hidden="false" customHeight="true" outlineLevel="0" collapsed="false">
      <c r="A19" s="3" t="s">
        <v>76</v>
      </c>
      <c r="B19" s="3"/>
      <c r="C19" s="3"/>
      <c r="D19" s="3"/>
    </row>
    <row r="20" customFormat="false" ht="15" hidden="false" customHeight="false" outlineLevel="0" collapsed="false">
      <c r="A20" s="5" t="s">
        <v>77</v>
      </c>
      <c r="B20" s="21" t="n">
        <v>12</v>
      </c>
      <c r="C20" s="19" t="s">
        <v>19</v>
      </c>
      <c r="D20" s="7" t="s">
        <v>78</v>
      </c>
    </row>
    <row r="21" customFormat="false" ht="15" hidden="false" customHeight="false" outlineLevel="0" collapsed="false">
      <c r="A21" s="5" t="s">
        <v>79</v>
      </c>
      <c r="B21" s="21" t="n">
        <v>2</v>
      </c>
      <c r="C21" s="19" t="s">
        <v>66</v>
      </c>
      <c r="D21" s="7" t="s">
        <v>80</v>
      </c>
    </row>
    <row r="22" customFormat="false" ht="15" hidden="false" customHeight="false" outlineLevel="0" collapsed="false">
      <c r="A22" s="5" t="s">
        <v>81</v>
      </c>
      <c r="B22" s="21" t="n">
        <v>1</v>
      </c>
      <c r="C22" s="19" t="s">
        <v>66</v>
      </c>
      <c r="D22" s="7" t="s">
        <v>82</v>
      </c>
    </row>
    <row r="23" customFormat="false" ht="15" hidden="false" customHeight="false" outlineLevel="0" collapsed="false">
      <c r="A23" s="5" t="s">
        <v>83</v>
      </c>
      <c r="B23" s="21" t="n">
        <v>8</v>
      </c>
      <c r="C23" s="19" t="s">
        <v>19</v>
      </c>
      <c r="D23" s="7" t="s">
        <v>84</v>
      </c>
    </row>
    <row r="25" customFormat="false" ht="16.5" hidden="false" customHeight="true" outlineLevel="0" collapsed="false">
      <c r="A25" s="3" t="s">
        <v>85</v>
      </c>
      <c r="B25" s="3"/>
      <c r="C25" s="3"/>
      <c r="D25" s="3"/>
    </row>
    <row r="26" customFormat="false" ht="15" hidden="false" customHeight="false" outlineLevel="0" collapsed="false">
      <c r="A26" s="5" t="s">
        <v>86</v>
      </c>
      <c r="B26" s="21" t="n">
        <v>32</v>
      </c>
      <c r="C26" s="19" t="s">
        <v>87</v>
      </c>
      <c r="D26" s="7" t="s">
        <v>88</v>
      </c>
    </row>
    <row r="27" customFormat="false" ht="15" hidden="false" customHeight="false" outlineLevel="0" collapsed="false">
      <c r="A27" s="5" t="s">
        <v>89</v>
      </c>
      <c r="B27" s="22" t="n">
        <v>0.35</v>
      </c>
      <c r="C27" s="19" t="s">
        <v>90</v>
      </c>
      <c r="D27" s="7" t="s">
        <v>91</v>
      </c>
    </row>
    <row r="29" customFormat="false" ht="16.5" hidden="false" customHeight="true" outlineLevel="0" collapsed="false">
      <c r="A29" s="3" t="s">
        <v>92</v>
      </c>
      <c r="B29" s="3"/>
      <c r="C29" s="3"/>
      <c r="D29" s="3"/>
    </row>
    <row r="30" customFormat="false" ht="15" hidden="false" customHeight="false" outlineLevel="0" collapsed="false">
      <c r="A30" s="5" t="s">
        <v>93</v>
      </c>
      <c r="B30" s="23" t="n">
        <v>0.12</v>
      </c>
      <c r="C30" s="19" t="s">
        <v>90</v>
      </c>
      <c r="D30" s="7" t="s">
        <v>94</v>
      </c>
    </row>
    <row r="31" customFormat="false" ht="15" hidden="false" customHeight="false" outlineLevel="0" collapsed="false">
      <c r="A31" s="5" t="s">
        <v>95</v>
      </c>
      <c r="B31" s="23" t="n">
        <v>0.18</v>
      </c>
      <c r="C31" s="19" t="s">
        <v>90</v>
      </c>
      <c r="D31" s="7" t="s">
        <v>96</v>
      </c>
    </row>
    <row r="32" customFormat="false" ht="15" hidden="false" customHeight="false" outlineLevel="0" collapsed="false">
      <c r="A32" s="5" t="s">
        <v>97</v>
      </c>
      <c r="B32" s="23" t="n">
        <v>0.12</v>
      </c>
      <c r="C32" s="19" t="s">
        <v>90</v>
      </c>
      <c r="D32" s="7" t="s">
        <v>98</v>
      </c>
    </row>
    <row r="34" customFormat="false" ht="16.5" hidden="false" customHeight="true" outlineLevel="0" collapsed="false">
      <c r="A34" s="3" t="s">
        <v>99</v>
      </c>
      <c r="B34" s="3"/>
      <c r="C34" s="3"/>
      <c r="D34" s="3"/>
    </row>
    <row r="35" customFormat="false" ht="15" hidden="false" customHeight="false" outlineLevel="0" collapsed="false">
      <c r="A35" s="5" t="s">
        <v>100</v>
      </c>
      <c r="B35" s="20" t="n">
        <v>2</v>
      </c>
      <c r="C35" s="19" t="s">
        <v>66</v>
      </c>
      <c r="D35" s="7" t="s">
        <v>101</v>
      </c>
    </row>
    <row r="36" customFormat="false" ht="15" hidden="false" customHeight="false" outlineLevel="0" collapsed="false">
      <c r="A36" s="5" t="s">
        <v>102</v>
      </c>
      <c r="B36" s="21" t="n">
        <v>22</v>
      </c>
      <c r="C36" s="19" t="s">
        <v>103</v>
      </c>
      <c r="D36" s="7" t="s">
        <v>104</v>
      </c>
    </row>
    <row r="37" customFormat="false" ht="15" hidden="false" customHeight="false" outlineLevel="0" collapsed="false">
      <c r="A37" s="5" t="s">
        <v>105</v>
      </c>
      <c r="B37" s="20" t="n">
        <v>60</v>
      </c>
      <c r="C37" s="19" t="s">
        <v>103</v>
      </c>
      <c r="D37" s="7" t="s">
        <v>106</v>
      </c>
    </row>
    <row r="38" customFormat="false" ht="15" hidden="false" customHeight="false" outlineLevel="0" collapsed="false">
      <c r="A38" s="5" t="s">
        <v>107</v>
      </c>
      <c r="B38" s="21" t="n">
        <v>8</v>
      </c>
      <c r="C38" s="19" t="s">
        <v>19</v>
      </c>
      <c r="D38" s="7" t="s">
        <v>108</v>
      </c>
    </row>
    <row r="40" customFormat="false" ht="16.5" hidden="false" customHeight="true" outlineLevel="0" collapsed="false">
      <c r="A40" s="3" t="s">
        <v>109</v>
      </c>
      <c r="B40" s="3"/>
      <c r="C40" s="3"/>
      <c r="D40" s="3"/>
    </row>
    <row r="41" customFormat="false" ht="15" hidden="false" customHeight="false" outlineLevel="0" collapsed="false">
      <c r="A41" s="5" t="s">
        <v>110</v>
      </c>
      <c r="B41" s="21" t="n">
        <v>2</v>
      </c>
      <c r="C41" s="19" t="s">
        <v>66</v>
      </c>
      <c r="D41" s="7" t="s">
        <v>111</v>
      </c>
    </row>
    <row r="42" customFormat="false" ht="15" hidden="false" customHeight="false" outlineLevel="0" collapsed="false">
      <c r="A42" s="5" t="s">
        <v>112</v>
      </c>
      <c r="B42" s="21" t="n">
        <v>375</v>
      </c>
      <c r="C42" s="19" t="s">
        <v>87</v>
      </c>
      <c r="D42" s="7" t="s">
        <v>113</v>
      </c>
    </row>
    <row r="43" customFormat="false" ht="15" hidden="false" customHeight="false" outlineLevel="0" collapsed="false">
      <c r="A43" s="5" t="s">
        <v>114</v>
      </c>
      <c r="B43" s="18" t="n">
        <v>1.2</v>
      </c>
      <c r="C43" s="19" t="s">
        <v>115</v>
      </c>
      <c r="D43" s="7" t="s">
        <v>116</v>
      </c>
    </row>
    <row r="44" customFormat="false" ht="15" hidden="false" customHeight="false" outlineLevel="0" collapsed="false">
      <c r="A44" s="5" t="s">
        <v>117</v>
      </c>
      <c r="B44" s="20" t="n">
        <v>220</v>
      </c>
      <c r="C44" s="19" t="s">
        <v>87</v>
      </c>
      <c r="D44" s="7" t="s">
        <v>118</v>
      </c>
    </row>
    <row r="45" customFormat="false" ht="15" hidden="false" customHeight="false" outlineLevel="0" collapsed="false">
      <c r="A45" s="5" t="s">
        <v>119</v>
      </c>
      <c r="B45" s="21" t="n">
        <v>3</v>
      </c>
      <c r="C45" s="19" t="s">
        <v>29</v>
      </c>
      <c r="D45" s="7" t="s">
        <v>120</v>
      </c>
    </row>
    <row r="47" customFormat="false" ht="16.5" hidden="false" customHeight="true" outlineLevel="0" collapsed="false">
      <c r="A47" s="3" t="s">
        <v>121</v>
      </c>
      <c r="B47" s="3"/>
      <c r="C47" s="3"/>
      <c r="D47" s="3"/>
    </row>
    <row r="48" customFormat="false" ht="15" hidden="false" customHeight="false" outlineLevel="0" collapsed="false">
      <c r="A48" s="5" t="s">
        <v>122</v>
      </c>
      <c r="B48" s="24" t="n">
        <v>29</v>
      </c>
      <c r="C48" s="19" t="s">
        <v>123</v>
      </c>
      <c r="D48" s="7" t="s">
        <v>124</v>
      </c>
    </row>
    <row r="49" customFormat="false" ht="15" hidden="false" customHeight="false" outlineLevel="0" collapsed="false">
      <c r="A49" s="5" t="s">
        <v>125</v>
      </c>
      <c r="B49" s="24" t="n">
        <v>16</v>
      </c>
      <c r="C49" s="19" t="s">
        <v>123</v>
      </c>
      <c r="D49" s="7" t="s">
        <v>126</v>
      </c>
    </row>
    <row r="50" customFormat="false" ht="15" hidden="false" customHeight="false" outlineLevel="0" collapsed="false">
      <c r="A50" s="5" t="s">
        <v>127</v>
      </c>
      <c r="B50" s="24" t="n">
        <v>9.5</v>
      </c>
      <c r="C50" s="19" t="s">
        <v>123</v>
      </c>
      <c r="D50" s="7" t="s">
        <v>128</v>
      </c>
    </row>
    <row r="51" customFormat="false" ht="15" hidden="false" customHeight="false" outlineLevel="0" collapsed="false">
      <c r="A51" s="5" t="s">
        <v>129</v>
      </c>
      <c r="B51" s="24" t="n">
        <v>1.6</v>
      </c>
      <c r="C51" s="19" t="s">
        <v>130</v>
      </c>
      <c r="D51" s="7" t="s">
        <v>131</v>
      </c>
    </row>
    <row r="52" customFormat="false" ht="15" hidden="false" customHeight="false" outlineLevel="0" collapsed="false">
      <c r="A52" s="5" t="s">
        <v>132</v>
      </c>
      <c r="B52" s="24" t="n">
        <v>6.5</v>
      </c>
      <c r="C52" s="19" t="s">
        <v>123</v>
      </c>
      <c r="D52" s="7" t="s">
        <v>133</v>
      </c>
    </row>
    <row r="53" customFormat="false" ht="15" hidden="false" customHeight="false" outlineLevel="0" collapsed="false">
      <c r="A53" s="5" t="s">
        <v>134</v>
      </c>
      <c r="B53" s="24" t="n">
        <v>7.5</v>
      </c>
      <c r="C53" s="19" t="s">
        <v>123</v>
      </c>
      <c r="D53" s="7" t="s">
        <v>135</v>
      </c>
    </row>
    <row r="54" customFormat="false" ht="15" hidden="false" customHeight="false" outlineLevel="0" collapsed="false">
      <c r="A54" s="5" t="s">
        <v>136</v>
      </c>
      <c r="B54" s="24" t="n">
        <v>9</v>
      </c>
      <c r="C54" s="19" t="s">
        <v>123</v>
      </c>
      <c r="D54" s="7" t="s">
        <v>137</v>
      </c>
    </row>
    <row r="55" customFormat="false" ht="15" hidden="false" customHeight="false" outlineLevel="0" collapsed="false">
      <c r="A55" s="5" t="s">
        <v>138</v>
      </c>
      <c r="B55" s="24" t="n">
        <v>5</v>
      </c>
      <c r="C55" s="19" t="s">
        <v>123</v>
      </c>
      <c r="D55" s="7" t="s">
        <v>139</v>
      </c>
    </row>
    <row r="56" customFormat="false" ht="15" hidden="false" customHeight="false" outlineLevel="0" collapsed="false">
      <c r="A56" s="5" t="s">
        <v>140</v>
      </c>
      <c r="B56" s="24" t="n">
        <v>8</v>
      </c>
      <c r="C56" s="19" t="s">
        <v>123</v>
      </c>
      <c r="D56" s="7" t="s">
        <v>141</v>
      </c>
    </row>
    <row r="57" customFormat="false" ht="15" hidden="false" customHeight="false" outlineLevel="0" collapsed="false">
      <c r="A57" s="5" t="s">
        <v>142</v>
      </c>
      <c r="B57" s="24" t="n">
        <v>78</v>
      </c>
      <c r="C57" s="19" t="s">
        <v>143</v>
      </c>
      <c r="D57" s="7" t="s">
        <v>144</v>
      </c>
    </row>
    <row r="58" customFormat="false" ht="15" hidden="false" customHeight="false" outlineLevel="0" collapsed="false">
      <c r="A58" s="5" t="s">
        <v>145</v>
      </c>
      <c r="B58" s="24" t="n">
        <v>48</v>
      </c>
      <c r="C58" s="19" t="s">
        <v>143</v>
      </c>
      <c r="D58" s="7" t="s">
        <v>146</v>
      </c>
    </row>
    <row r="59" customFormat="false" ht="15" hidden="false" customHeight="false" outlineLevel="0" collapsed="false">
      <c r="A59" s="5" t="s">
        <v>147</v>
      </c>
      <c r="B59" s="24" t="n">
        <v>12</v>
      </c>
      <c r="C59" s="19" t="s">
        <v>123</v>
      </c>
      <c r="D59" s="7" t="s">
        <v>148</v>
      </c>
    </row>
    <row r="60" customFormat="false" ht="15" hidden="false" customHeight="false" outlineLevel="0" collapsed="false">
      <c r="A60" s="5" t="s">
        <v>149</v>
      </c>
      <c r="B60" s="24" t="n">
        <v>6</v>
      </c>
      <c r="C60" s="19" t="s">
        <v>123</v>
      </c>
      <c r="D60" s="7" t="s">
        <v>150</v>
      </c>
    </row>
    <row r="62" customFormat="false" ht="16.5" hidden="false" customHeight="true" outlineLevel="0" collapsed="false">
      <c r="A62" s="3" t="s">
        <v>151</v>
      </c>
      <c r="B62" s="3"/>
      <c r="C62" s="3"/>
      <c r="D62" s="3"/>
    </row>
    <row r="63" customFormat="false" ht="15" hidden="false" customHeight="false" outlineLevel="0" collapsed="false">
      <c r="A63" s="5" t="s">
        <v>152</v>
      </c>
      <c r="B63" s="21" t="n">
        <v>55</v>
      </c>
      <c r="C63" s="19" t="s">
        <v>103</v>
      </c>
      <c r="D63" s="7"/>
    </row>
    <row r="64" customFormat="false" ht="15" hidden="false" customHeight="false" outlineLevel="0" collapsed="false">
      <c r="A64" s="5" t="s">
        <v>153</v>
      </c>
      <c r="B64" s="21" t="n">
        <v>32</v>
      </c>
      <c r="C64" s="19" t="s">
        <v>87</v>
      </c>
      <c r="D64" s="7" t="s">
        <v>154</v>
      </c>
    </row>
    <row r="65" customFormat="false" ht="15" hidden="false" customHeight="false" outlineLevel="0" collapsed="false">
      <c r="A65" s="5" t="s">
        <v>155</v>
      </c>
      <c r="B65" s="21" t="n">
        <v>150</v>
      </c>
      <c r="C65" s="19" t="s">
        <v>103</v>
      </c>
      <c r="D65" s="7"/>
    </row>
    <row r="66" customFormat="false" ht="15" hidden="false" customHeight="false" outlineLevel="0" collapsed="false">
      <c r="A66" s="5" t="s">
        <v>156</v>
      </c>
      <c r="B66" s="21" t="n">
        <v>28</v>
      </c>
      <c r="C66" s="19" t="s">
        <v>103</v>
      </c>
      <c r="D66" s="7" t="s">
        <v>157</v>
      </c>
    </row>
    <row r="67" customFormat="false" ht="15" hidden="false" customHeight="false" outlineLevel="0" collapsed="false">
      <c r="A67" s="5" t="s">
        <v>158</v>
      </c>
      <c r="B67" s="21" t="n">
        <v>300</v>
      </c>
      <c r="C67" s="19" t="s">
        <v>103</v>
      </c>
      <c r="D67" s="7"/>
    </row>
    <row r="68" customFormat="false" ht="15" hidden="false" customHeight="false" outlineLevel="0" collapsed="false">
      <c r="A68" s="5" t="s">
        <v>159</v>
      </c>
      <c r="B68" s="21" t="n">
        <v>8</v>
      </c>
      <c r="C68" s="19" t="s">
        <v>66</v>
      </c>
      <c r="D68" s="7" t="s">
        <v>160</v>
      </c>
    </row>
    <row r="69" customFormat="false" ht="15" hidden="false" customHeight="false" outlineLevel="0" collapsed="false">
      <c r="A69" s="5" t="s">
        <v>161</v>
      </c>
      <c r="B69" s="24" t="n">
        <v>95</v>
      </c>
      <c r="C69" s="19" t="s">
        <v>162</v>
      </c>
      <c r="D69" s="7" t="s">
        <v>163</v>
      </c>
    </row>
  </sheetData>
  <mergeCells count="11">
    <mergeCell ref="A1:D1"/>
    <mergeCell ref="A2:D2"/>
    <mergeCell ref="A3:D3"/>
    <mergeCell ref="A11:D11"/>
    <mergeCell ref="A19:D19"/>
    <mergeCell ref="A25:D25"/>
    <mergeCell ref="A29:D29"/>
    <mergeCell ref="A34:D34"/>
    <mergeCell ref="A40:D40"/>
    <mergeCell ref="A47:D47"/>
    <mergeCell ref="A62:D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4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1" t="s">
        <v>164</v>
      </c>
      <c r="B1" s="1"/>
      <c r="C1" s="1"/>
    </row>
    <row r="2" customFormat="false" ht="15" hidden="false" customHeight="false" outlineLevel="0" collapsed="false">
      <c r="A2" s="2" t="s">
        <v>165</v>
      </c>
      <c r="B2" s="2"/>
      <c r="C2" s="2"/>
    </row>
    <row r="3" customFormat="false" ht="25.5" hidden="false" customHeight="true" outlineLevel="0" collapsed="false">
      <c r="A3" s="4" t="s">
        <v>166</v>
      </c>
      <c r="B3" s="4" t="s">
        <v>167</v>
      </c>
      <c r="C3" s="4" t="s">
        <v>168</v>
      </c>
    </row>
    <row r="4" customFormat="false" ht="15" hidden="false" customHeight="false" outlineLevel="0" collapsed="false">
      <c r="A4" s="5" t="s">
        <v>169</v>
      </c>
      <c r="B4" s="7" t="s">
        <v>170</v>
      </c>
      <c r="C4" s="16" t="n">
        <f aca="false">Inputs!B15*Inputs!B9/12</f>
        <v>315.875</v>
      </c>
    </row>
    <row r="5" customFormat="false" ht="15" hidden="false" customHeight="false" outlineLevel="0" collapsed="false">
      <c r="A5" s="5" t="s">
        <v>171</v>
      </c>
      <c r="B5" s="7" t="s">
        <v>172</v>
      </c>
      <c r="C5" s="16" t="n">
        <f aca="false">Inputs!B16*Inputs!B12/12</f>
        <v>370.5</v>
      </c>
    </row>
    <row r="6" customFormat="false" ht="15" hidden="false" customHeight="false" outlineLevel="0" collapsed="false">
      <c r="A6" s="5" t="s">
        <v>173</v>
      </c>
      <c r="B6" s="7" t="s">
        <v>174</v>
      </c>
      <c r="C6" s="25" t="n">
        <f aca="false">C4+C5</f>
        <v>686.375</v>
      </c>
    </row>
    <row r="7" customFormat="false" ht="15" hidden="false" customHeight="false" outlineLevel="0" collapsed="false">
      <c r="A7" s="5" t="s">
        <v>175</v>
      </c>
      <c r="B7" s="7" t="s">
        <v>176</v>
      </c>
      <c r="C7" s="25" t="n">
        <f aca="false">C6*(1+Inputs!B30)</f>
        <v>768.74</v>
      </c>
    </row>
    <row r="8" customFormat="false" ht="15" hidden="false" customHeight="false" outlineLevel="0" collapsed="false">
      <c r="A8" s="5" t="s">
        <v>177</v>
      </c>
      <c r="B8" s="7" t="s">
        <v>178</v>
      </c>
      <c r="C8" s="25" t="n">
        <f aca="false">Inputs!B20*Inputs!B21</f>
        <v>24</v>
      </c>
    </row>
    <row r="9" customFormat="false" ht="15" hidden="false" customHeight="false" outlineLevel="0" collapsed="false">
      <c r="A9" s="11" t="s">
        <v>179</v>
      </c>
      <c r="B9" s="13" t="s">
        <v>180</v>
      </c>
      <c r="C9" s="26" t="n">
        <f aca="false">ROUNDUP(C7/C8,0)</f>
        <v>33</v>
      </c>
    </row>
    <row r="10" customFormat="false" ht="15" hidden="false" customHeight="false" outlineLevel="0" collapsed="false">
      <c r="A10" s="5" t="s">
        <v>181</v>
      </c>
      <c r="B10" s="7" t="s">
        <v>182</v>
      </c>
      <c r="C10" s="16" t="n">
        <f aca="false">Inputs!B12/12</f>
        <v>92.625</v>
      </c>
    </row>
    <row r="11" customFormat="false" ht="15" hidden="false" customHeight="false" outlineLevel="0" collapsed="false">
      <c r="A11" s="5" t="s">
        <v>183</v>
      </c>
      <c r="B11" s="7" t="s">
        <v>184</v>
      </c>
      <c r="C11" s="25" t="n">
        <f aca="false">C10*(1+Inputs!B32)</f>
        <v>103.74</v>
      </c>
    </row>
    <row r="12" customFormat="false" ht="15" hidden="false" customHeight="false" outlineLevel="0" collapsed="false">
      <c r="A12" s="11" t="s">
        <v>185</v>
      </c>
      <c r="B12" s="13" t="s">
        <v>186</v>
      </c>
      <c r="C12" s="26" t="n">
        <f aca="false">ROUNDUP(C11/Inputs!B20,0)</f>
        <v>9</v>
      </c>
    </row>
    <row r="13" customFormat="false" ht="15" hidden="false" customHeight="false" outlineLevel="0" collapsed="false">
      <c r="A13" s="5" t="s">
        <v>187</v>
      </c>
      <c r="B13" s="7" t="s">
        <v>188</v>
      </c>
      <c r="C13" s="25" t="n">
        <f aca="false">(Inputs!B14/3)*((2*((Inputs!B12/Inputs!B13)-Inputs!B6)+2*Inputs!B8)*2+(2*((Inputs!B12/Inputs!B13)-Inputs!B6)+2*Inputs!B7))/12</f>
        <v>968</v>
      </c>
    </row>
    <row r="14" customFormat="false" ht="15" hidden="false" customHeight="false" outlineLevel="0" collapsed="false">
      <c r="A14" s="5" t="s">
        <v>189</v>
      </c>
      <c r="B14" s="7" t="s">
        <v>190</v>
      </c>
      <c r="C14" s="25" t="n">
        <f aca="false">C13*(1+Inputs!B31)</f>
        <v>1142.24</v>
      </c>
    </row>
    <row r="15" customFormat="false" ht="15" hidden="false" customHeight="false" outlineLevel="0" collapsed="false">
      <c r="A15" s="11" t="s">
        <v>191</v>
      </c>
      <c r="B15" s="13" t="s">
        <v>192</v>
      </c>
      <c r="C15" s="26" t="n">
        <f aca="false">ROUNDUP(C14/Inputs!B23,0)</f>
        <v>143</v>
      </c>
    </row>
    <row r="16" customFormat="false" ht="15" hidden="false" customHeight="false" outlineLevel="0" collapsed="false">
      <c r="A16" s="5" t="s">
        <v>193</v>
      </c>
      <c r="B16" s="7" t="s">
        <v>194</v>
      </c>
      <c r="C16" s="27" t="n">
        <f aca="false">Inputs!B12*Inputs!B4/144</f>
        <v>739.0703125</v>
      </c>
    </row>
    <row r="17" customFormat="false" ht="15" hidden="false" customHeight="false" outlineLevel="0" collapsed="false">
      <c r="A17" s="5" t="s">
        <v>195</v>
      </c>
      <c r="B17" s="7" t="s">
        <v>196</v>
      </c>
      <c r="C17" s="25" t="n">
        <f aca="false">C16/Inputs!B26</f>
        <v>23.095947265625</v>
      </c>
    </row>
    <row r="18" customFormat="false" ht="15" hidden="false" customHeight="false" outlineLevel="0" collapsed="false">
      <c r="A18" s="11" t="s">
        <v>197</v>
      </c>
      <c r="B18" s="13" t="s">
        <v>198</v>
      </c>
      <c r="C18" s="26" t="n">
        <f aca="false">ROUNDUP(C17*(1+Inputs!B27),0)</f>
        <v>32</v>
      </c>
    </row>
    <row r="20" customFormat="false" ht="15" hidden="false" customHeight="true" outlineLevel="0" collapsed="false">
      <c r="A20" s="17" t="s">
        <v>199</v>
      </c>
      <c r="B20" s="17"/>
      <c r="C20" s="17"/>
    </row>
    <row r="21" customFormat="false" ht="15" hidden="false" customHeight="false" outlineLevel="0" collapsed="false">
      <c r="A21" s="17"/>
      <c r="B21" s="17"/>
      <c r="C21" s="17"/>
    </row>
    <row r="22" customFormat="false" ht="15" hidden="false" customHeight="false" outlineLevel="0" collapsed="false">
      <c r="A22" s="17"/>
      <c r="B22" s="17"/>
      <c r="C22" s="17"/>
    </row>
    <row r="23" customFormat="false" ht="15" hidden="false" customHeight="false" outlineLevel="0" collapsed="false">
      <c r="A23" s="17"/>
      <c r="B23" s="17"/>
      <c r="C23" s="17"/>
    </row>
  </sheetData>
  <mergeCells count="3">
    <mergeCell ref="A1:C1"/>
    <mergeCell ref="A2:C2"/>
    <mergeCell ref="A20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1" t="s">
        <v>200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201</v>
      </c>
      <c r="B2" s="2"/>
      <c r="C2" s="2"/>
      <c r="D2" s="2"/>
      <c r="E2" s="2"/>
      <c r="F2" s="2"/>
    </row>
    <row r="3" customFormat="false" ht="16.5" hidden="false" customHeight="true" outlineLevel="0" collapsed="false">
      <c r="A3" s="3" t="s">
        <v>202</v>
      </c>
      <c r="B3" s="3"/>
      <c r="C3" s="3"/>
      <c r="D3" s="3"/>
      <c r="E3" s="3"/>
      <c r="F3" s="3"/>
    </row>
    <row r="4" customFormat="false" ht="25.5" hidden="false" customHeight="true" outlineLevel="0" collapsed="false">
      <c r="A4" s="4" t="s">
        <v>203</v>
      </c>
      <c r="B4" s="4" t="s">
        <v>204</v>
      </c>
      <c r="C4" s="4" t="s">
        <v>205</v>
      </c>
      <c r="D4" s="4" t="s">
        <v>206</v>
      </c>
      <c r="E4" s="4" t="s">
        <v>207</v>
      </c>
      <c r="F4" s="4" t="s">
        <v>5</v>
      </c>
    </row>
    <row r="5" customFormat="false" ht="15" hidden="false" customHeight="false" outlineLevel="0" collapsed="false">
      <c r="A5" s="5" t="s">
        <v>208</v>
      </c>
      <c r="B5" s="28" t="n">
        <f aca="false">'Trim Takeoff'!C18</f>
        <v>32</v>
      </c>
      <c r="C5" s="19" t="s">
        <v>209</v>
      </c>
      <c r="D5" s="29" t="n">
        <f aca="false">Inputs!B49</f>
        <v>16</v>
      </c>
      <c r="E5" s="14" t="n">
        <f aca="false">B5*D5</f>
        <v>512</v>
      </c>
      <c r="F5" s="7" t="s">
        <v>210</v>
      </c>
    </row>
    <row r="6" customFormat="false" ht="15" hidden="false" customHeight="false" outlineLevel="0" collapsed="false">
      <c r="A6" s="8" t="s">
        <v>211</v>
      </c>
      <c r="B6" s="30" t="n">
        <f aca="false">'Trim Takeoff'!C9</f>
        <v>33</v>
      </c>
      <c r="C6" s="31" t="s">
        <v>212</v>
      </c>
      <c r="D6" s="32" t="n">
        <f aca="false">Inputs!B48</f>
        <v>29</v>
      </c>
      <c r="E6" s="33" t="n">
        <f aca="false">B6*D6</f>
        <v>957</v>
      </c>
      <c r="F6" s="10" t="s">
        <v>213</v>
      </c>
    </row>
    <row r="7" customFormat="false" ht="15" hidden="false" customHeight="false" outlineLevel="0" collapsed="false">
      <c r="A7" s="5" t="s">
        <v>214</v>
      </c>
      <c r="B7" s="28" t="n">
        <f aca="false">'Trim Takeoff'!C12</f>
        <v>9</v>
      </c>
      <c r="C7" s="19" t="s">
        <v>212</v>
      </c>
      <c r="D7" s="29" t="n">
        <f aca="false">Inputs!B48</f>
        <v>29</v>
      </c>
      <c r="E7" s="14" t="n">
        <f aca="false">B7*D7</f>
        <v>261</v>
      </c>
      <c r="F7" s="7" t="s">
        <v>215</v>
      </c>
    </row>
    <row r="8" customFormat="false" ht="15" hidden="false" customHeight="false" outlineLevel="0" collapsed="false">
      <c r="A8" s="8" t="s">
        <v>127</v>
      </c>
      <c r="B8" s="30" t="n">
        <f aca="false">'Trim Takeoff'!C15</f>
        <v>143</v>
      </c>
      <c r="C8" s="31" t="s">
        <v>216</v>
      </c>
      <c r="D8" s="32" t="n">
        <f aca="false">Inputs!B50</f>
        <v>9.5</v>
      </c>
      <c r="E8" s="33" t="n">
        <f aca="false">B8*D8</f>
        <v>1358.5</v>
      </c>
      <c r="F8" s="10" t="s">
        <v>217</v>
      </c>
    </row>
    <row r="9" customFormat="false" ht="15" hidden="false" customHeight="false" outlineLevel="0" collapsed="false">
      <c r="A9" s="5" t="s">
        <v>218</v>
      </c>
      <c r="B9" s="28" t="n">
        <f aca="false">ROUNDUP('Trim Takeoff'!C16/Inputs!B64,0)</f>
        <v>24</v>
      </c>
      <c r="C9" s="19" t="s">
        <v>219</v>
      </c>
      <c r="D9" s="29" t="n">
        <f aca="false">Inputs!B53</f>
        <v>7.5</v>
      </c>
      <c r="E9" s="14" t="n">
        <f aca="false">B9*D9</f>
        <v>180</v>
      </c>
      <c r="F9" s="7" t="s">
        <v>220</v>
      </c>
    </row>
    <row r="10" customFormat="false" ht="15" hidden="false" customHeight="false" outlineLevel="0" collapsed="false">
      <c r="A10" s="8" t="s">
        <v>221</v>
      </c>
      <c r="B10" s="30" t="n">
        <f aca="false">ROUNDUP('Trim Takeoff'!C6/Inputs!B63,0)</f>
        <v>13</v>
      </c>
      <c r="C10" s="31" t="s">
        <v>219</v>
      </c>
      <c r="D10" s="32" t="n">
        <f aca="false">Inputs!B52</f>
        <v>6.5</v>
      </c>
      <c r="E10" s="33" t="n">
        <f aca="false">B10*D10</f>
        <v>84.5</v>
      </c>
      <c r="F10" s="10" t="s">
        <v>222</v>
      </c>
    </row>
    <row r="11" customFormat="false" ht="15" hidden="false" customHeight="false" outlineLevel="0" collapsed="false">
      <c r="A11" s="5" t="s">
        <v>223</v>
      </c>
      <c r="B11" s="28" t="n">
        <f aca="false">ROUNDUP(('Trim Takeoff'!C6+'Trim Takeoff'!C13)/Inputs!B65,0)</f>
        <v>12</v>
      </c>
      <c r="C11" s="19" t="s">
        <v>224</v>
      </c>
      <c r="D11" s="29" t="n">
        <f aca="false">Inputs!B54</f>
        <v>9</v>
      </c>
      <c r="E11" s="14" t="n">
        <f aca="false">B11*D11</f>
        <v>108</v>
      </c>
      <c r="F11" s="7" t="s">
        <v>225</v>
      </c>
    </row>
    <row r="12" customFormat="false" ht="15" hidden="false" customHeight="false" outlineLevel="0" collapsed="false">
      <c r="A12" s="8" t="s">
        <v>226</v>
      </c>
      <c r="B12" s="30" t="n">
        <f aca="false">ROUNDUP(('Trim Takeoff'!C6*2+'Trim Takeoff'!C13*2)/Inputs!B66,0)</f>
        <v>119</v>
      </c>
      <c r="C12" s="31" t="s">
        <v>219</v>
      </c>
      <c r="D12" s="32" t="n">
        <f aca="false">Inputs!B55</f>
        <v>5</v>
      </c>
      <c r="E12" s="33" t="n">
        <f aca="false">B12*D12</f>
        <v>595</v>
      </c>
      <c r="F12" s="10" t="s">
        <v>227</v>
      </c>
    </row>
    <row r="13" customFormat="false" ht="15" hidden="false" customHeight="false" outlineLevel="0" collapsed="false">
      <c r="A13" s="5" t="s">
        <v>228</v>
      </c>
      <c r="B13" s="28" t="n">
        <f aca="false">MAX(3,ROUNDUP(('Trim Takeoff'!C6+'Trim Takeoff'!C13)/Inputs!B67,0))</f>
        <v>6</v>
      </c>
      <c r="C13" s="19" t="s">
        <v>229</v>
      </c>
      <c r="D13" s="29" t="n">
        <f aca="false">Inputs!B56</f>
        <v>8</v>
      </c>
      <c r="E13" s="14" t="n">
        <f aca="false">B13*D13</f>
        <v>48</v>
      </c>
      <c r="F13" s="7" t="s">
        <v>230</v>
      </c>
    </row>
    <row r="14" customFormat="false" ht="15" hidden="false" customHeight="false" outlineLevel="0" collapsed="false">
      <c r="A14" s="8" t="s">
        <v>231</v>
      </c>
      <c r="B14" s="30" t="n">
        <f aca="false">Inputs!B68</f>
        <v>8</v>
      </c>
      <c r="C14" s="31" t="s">
        <v>224</v>
      </c>
      <c r="D14" s="32" t="n">
        <f aca="false">Inputs!B59</f>
        <v>12</v>
      </c>
      <c r="E14" s="33" t="n">
        <f aca="false">B14*D14</f>
        <v>96</v>
      </c>
      <c r="F14" s="10" t="s">
        <v>232</v>
      </c>
    </row>
    <row r="15" customFormat="false" ht="15" hidden="false" customHeight="false" outlineLevel="0" collapsed="false">
      <c r="A15" s="5" t="s">
        <v>233</v>
      </c>
      <c r="B15" s="21" t="n">
        <v>1</v>
      </c>
      <c r="C15" s="19" t="s">
        <v>234</v>
      </c>
      <c r="D15" s="29" t="n">
        <f aca="false">Inputs!B69</f>
        <v>95</v>
      </c>
      <c r="E15" s="14" t="n">
        <f aca="false">B15*D15</f>
        <v>95</v>
      </c>
      <c r="F15" s="7"/>
    </row>
    <row r="16" customFormat="false" ht="15" hidden="false" customHeight="false" outlineLevel="0" collapsed="false">
      <c r="A16" s="11" t="s">
        <v>235</v>
      </c>
      <c r="B16" s="15"/>
      <c r="C16" s="15"/>
      <c r="D16" s="15"/>
      <c r="E16" s="12" t="n">
        <f aca="false">SUM(E5:E15)</f>
        <v>4295</v>
      </c>
      <c r="F16" s="15"/>
    </row>
    <row r="18" customFormat="false" ht="16.5" hidden="false" customHeight="true" outlineLevel="0" collapsed="false">
      <c r="A18" s="3" t="s">
        <v>99</v>
      </c>
      <c r="B18" s="3"/>
      <c r="C18" s="3"/>
      <c r="D18" s="3"/>
      <c r="E18" s="3"/>
      <c r="F18" s="3"/>
    </row>
    <row r="19" customFormat="false" ht="25.5" hidden="false" customHeight="true" outlineLevel="0" collapsed="false">
      <c r="A19" s="4" t="s">
        <v>203</v>
      </c>
      <c r="B19" s="4" t="s">
        <v>204</v>
      </c>
      <c r="C19" s="4" t="s">
        <v>205</v>
      </c>
      <c r="D19" s="4" t="s">
        <v>206</v>
      </c>
      <c r="E19" s="4" t="s">
        <v>207</v>
      </c>
      <c r="F19" s="4" t="s">
        <v>5</v>
      </c>
    </row>
    <row r="20" customFormat="false" ht="15" hidden="false" customHeight="false" outlineLevel="0" collapsed="false">
      <c r="A20" s="5" t="s">
        <v>236</v>
      </c>
      <c r="B20" s="28" t="n">
        <f aca="false">Inputs!B35*Inputs!B36</f>
        <v>44</v>
      </c>
      <c r="C20" s="19" t="s">
        <v>103</v>
      </c>
      <c r="D20" s="29" t="n">
        <f aca="false">Inputs!B51</f>
        <v>1.6</v>
      </c>
      <c r="E20" s="14" t="n">
        <f aca="false">B20*D20</f>
        <v>70.4</v>
      </c>
      <c r="F20" s="7" t="s">
        <v>237</v>
      </c>
    </row>
    <row r="21" customFormat="false" ht="15" hidden="false" customHeight="false" outlineLevel="0" collapsed="false">
      <c r="A21" s="8" t="s">
        <v>238</v>
      </c>
      <c r="B21" s="30" t="n">
        <f aca="false">ROUNDUP(Inputs!B37/Inputs!B38,0)</f>
        <v>8</v>
      </c>
      <c r="C21" s="31" t="s">
        <v>216</v>
      </c>
      <c r="D21" s="32" t="n">
        <f aca="false">Inputs!B60</f>
        <v>6</v>
      </c>
      <c r="E21" s="33" t="n">
        <f aca="false">B21*D21</f>
        <v>48</v>
      </c>
      <c r="F21" s="10" t="s">
        <v>239</v>
      </c>
    </row>
    <row r="22" customFormat="false" ht="15" hidden="false" customHeight="false" outlineLevel="0" collapsed="false">
      <c r="A22" s="5" t="s">
        <v>240</v>
      </c>
      <c r="B22" s="21" t="n">
        <v>1</v>
      </c>
      <c r="C22" s="19" t="s">
        <v>234</v>
      </c>
      <c r="D22" s="34" t="n">
        <v>25</v>
      </c>
      <c r="E22" s="14" t="n">
        <f aca="false">B22*D22</f>
        <v>25</v>
      </c>
      <c r="F22" s="7"/>
    </row>
    <row r="23" customFormat="false" ht="15" hidden="false" customHeight="false" outlineLevel="0" collapsed="false">
      <c r="A23" s="11" t="s">
        <v>241</v>
      </c>
      <c r="B23" s="15"/>
      <c r="C23" s="15"/>
      <c r="D23" s="15"/>
      <c r="E23" s="12" t="n">
        <f aca="false">SUM(E20:E22)</f>
        <v>143.4</v>
      </c>
      <c r="F23" s="15"/>
    </row>
    <row r="25" customFormat="false" ht="16.5" hidden="false" customHeight="true" outlineLevel="0" collapsed="false">
      <c r="A25" s="3" t="s">
        <v>242</v>
      </c>
      <c r="B25" s="3"/>
      <c r="C25" s="3"/>
      <c r="D25" s="3"/>
      <c r="E25" s="3"/>
      <c r="F25" s="3"/>
    </row>
    <row r="26" customFormat="false" ht="25.5" hidden="false" customHeight="true" outlineLevel="0" collapsed="false">
      <c r="A26" s="4" t="s">
        <v>203</v>
      </c>
      <c r="B26" s="4" t="s">
        <v>204</v>
      </c>
      <c r="C26" s="4" t="s">
        <v>205</v>
      </c>
      <c r="D26" s="4" t="s">
        <v>206</v>
      </c>
      <c r="E26" s="4" t="s">
        <v>207</v>
      </c>
      <c r="F26" s="4" t="s">
        <v>5</v>
      </c>
    </row>
    <row r="27" customFormat="false" ht="15" hidden="false" customHeight="false" outlineLevel="0" collapsed="false">
      <c r="A27" s="5" t="s">
        <v>243</v>
      </c>
      <c r="B27" s="28" t="n">
        <f aca="false">(Inputs!B12*Inputs!B4/144*Inputs!B43)+Inputs!B44</f>
        <v>1106.884375</v>
      </c>
      <c r="C27" s="35"/>
      <c r="D27" s="35"/>
      <c r="E27" s="35"/>
      <c r="F27" s="35"/>
    </row>
    <row r="28" customFormat="false" ht="15" hidden="false" customHeight="false" outlineLevel="0" collapsed="false">
      <c r="A28" s="5" t="s">
        <v>244</v>
      </c>
      <c r="B28" s="36" t="n">
        <f aca="false">ROUNDUP(B27*Inputs!B41/Inputs!B42,0)</f>
        <v>6</v>
      </c>
      <c r="C28" s="35"/>
      <c r="D28" s="35"/>
      <c r="E28" s="35"/>
      <c r="F28" s="35"/>
    </row>
    <row r="29" customFormat="false" ht="15" hidden="false" customHeight="false" outlineLevel="0" collapsed="false">
      <c r="A29" s="5" t="s">
        <v>245</v>
      </c>
      <c r="B29" s="28" t="n">
        <f aca="false">B28</f>
        <v>6</v>
      </c>
      <c r="C29" s="19" t="s">
        <v>29</v>
      </c>
      <c r="D29" s="29" t="n">
        <f aca="false">Inputs!B57</f>
        <v>78</v>
      </c>
      <c r="E29" s="14" t="n">
        <f aca="false">B29*D29</f>
        <v>468</v>
      </c>
      <c r="F29" s="7" t="s">
        <v>246</v>
      </c>
    </row>
    <row r="30" customFormat="false" ht="15" hidden="false" customHeight="false" outlineLevel="0" collapsed="false">
      <c r="A30" s="8" t="s">
        <v>145</v>
      </c>
      <c r="B30" s="30" t="n">
        <f aca="false">Inputs!B45</f>
        <v>3</v>
      </c>
      <c r="C30" s="31" t="s">
        <v>29</v>
      </c>
      <c r="D30" s="32" t="n">
        <f aca="false">Inputs!B58</f>
        <v>48</v>
      </c>
      <c r="E30" s="33" t="n">
        <f aca="false">B30*D30</f>
        <v>144</v>
      </c>
      <c r="F30" s="10" t="s">
        <v>120</v>
      </c>
    </row>
    <row r="31" customFormat="false" ht="15" hidden="false" customHeight="false" outlineLevel="0" collapsed="false">
      <c r="A31" s="5" t="s">
        <v>247</v>
      </c>
      <c r="B31" s="21" t="n">
        <v>1</v>
      </c>
      <c r="C31" s="19" t="s">
        <v>234</v>
      </c>
      <c r="D31" s="34" t="n">
        <v>140</v>
      </c>
      <c r="E31" s="14" t="n">
        <f aca="false">B31*D31</f>
        <v>140</v>
      </c>
      <c r="F31" s="7"/>
    </row>
    <row r="32" customFormat="false" ht="15" hidden="false" customHeight="false" outlineLevel="0" collapsed="false">
      <c r="A32" s="11" t="s">
        <v>248</v>
      </c>
      <c r="B32" s="15"/>
      <c r="C32" s="15"/>
      <c r="D32" s="15"/>
      <c r="E32" s="12" t="n">
        <f aca="false">SUM(E29:E31)</f>
        <v>752</v>
      </c>
      <c r="F32" s="15"/>
    </row>
  </sheetData>
  <mergeCells count="5">
    <mergeCell ref="A1:F1"/>
    <mergeCell ref="A2:F2"/>
    <mergeCell ref="A3:F3"/>
    <mergeCell ref="A18:F18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2026-05-22T12:34:33Z</dcterms:created>
  <dc:creator>openpyxl</dc:creator>
  <dc:description/>
  <dc:language>en-US</dc:language>
  <cp:lastModifiedBy/>
  <dcterms:modified xsi:type="dcterms:W3CDTF">2026-05-22T12:34:33Z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